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5"/>
  </sheets>
  <definedNames/>
  <calcPr/>
</workbook>
</file>

<file path=xl/sharedStrings.xml><?xml version="1.0" encoding="utf-8"?>
<sst xmlns="http://schemas.openxmlformats.org/spreadsheetml/2006/main" count="134" uniqueCount="90">
  <si>
    <t>Format Z DELIVERY</t>
  </si>
  <si>
    <t>Zomato</t>
  </si>
  <si>
    <t>Note - july 10th tak ka data is already added jab mai july 20th tak ka data add karugi toh vo july 10th tak ka data hatakar july 1 to july 20th ka data add hoga</t>
  </si>
  <si>
    <t>Swiggy delivery</t>
  </si>
  <si>
    <t xml:space="preserve">Doodleberry </t>
  </si>
  <si>
    <t xml:space="preserve">Zomato Delivery </t>
  </si>
  <si>
    <t>upload</t>
  </si>
  <si>
    <t>Metrics</t>
  </si>
  <si>
    <t>Feb</t>
  </si>
  <si>
    <t>Mar</t>
  </si>
  <si>
    <t>Apr</t>
  </si>
  <si>
    <t>May</t>
  </si>
  <si>
    <t>June</t>
  </si>
  <si>
    <t>July- 25th</t>
  </si>
  <si>
    <t xml:space="preserve">June </t>
  </si>
  <si>
    <t xml:space="preserve">Swiggy Delivery </t>
  </si>
  <si>
    <t>Orders</t>
  </si>
  <si>
    <t xml:space="preserve">Item Total </t>
  </si>
  <si>
    <t xml:space="preserve">ST  </t>
  </si>
  <si>
    <t xml:space="preserve">Sub Total </t>
  </si>
  <si>
    <t>Packaging Charges</t>
  </si>
  <si>
    <t>PC</t>
  </si>
  <si>
    <t>Zomato Dinein</t>
  </si>
  <si>
    <t>Item Total + Packaging charges</t>
  </si>
  <si>
    <t>ST + PC</t>
  </si>
  <si>
    <t>Sub Total + Packaging Charges</t>
  </si>
  <si>
    <t>Swiggy Dineout</t>
  </si>
  <si>
    <t xml:space="preserve">Restaurant Discount </t>
  </si>
  <si>
    <t xml:space="preserve">Discount </t>
  </si>
  <si>
    <t>Cancelled Order Refund</t>
  </si>
  <si>
    <t>discount / ST + PC</t>
  </si>
  <si>
    <t>Discount %</t>
  </si>
  <si>
    <t xml:space="preserve">Total Customer paid </t>
  </si>
  <si>
    <t>Comisionable Value</t>
  </si>
  <si>
    <t>total fees</t>
  </si>
  <si>
    <t>Com + PG + GST</t>
  </si>
  <si>
    <t>Comisionable Value
 (Inclusding GST Collected by the customer)</t>
  </si>
  <si>
    <t>Complaint &amp; Cancellation Charges</t>
  </si>
  <si>
    <t>Complaints and cancellation charges</t>
  </si>
  <si>
    <t>Order level Deduction (Com + PG )</t>
  </si>
  <si>
    <t>Total Taxes</t>
  </si>
  <si>
    <t>Tax</t>
  </si>
  <si>
    <t>Tax Deduction</t>
  </si>
  <si>
    <t>Growth Investments in Ads</t>
  </si>
  <si>
    <t>Ads</t>
  </si>
  <si>
    <t xml:space="preserve">ads/ ST </t>
  </si>
  <si>
    <t>Ads%</t>
  </si>
  <si>
    <t xml:space="preserve">Net Payout </t>
  </si>
  <si>
    <t xml:space="preserve">Hyperpure </t>
  </si>
  <si>
    <t xml:space="preserve">Net payout / ST + PC </t>
  </si>
  <si>
    <t>Net Payout %</t>
  </si>
  <si>
    <t>1- NET PAYOUT %</t>
  </si>
  <si>
    <t>Overall Burn %</t>
  </si>
  <si>
    <t>Net Payout + Hyperpure</t>
  </si>
  <si>
    <t>GST</t>
  </si>
  <si>
    <t xml:space="preserve">Tota Ads </t>
  </si>
  <si>
    <t>Format Z Dinein</t>
  </si>
  <si>
    <t xml:space="preserve">Swiggy Dineout </t>
  </si>
  <si>
    <t>July- 26th</t>
  </si>
  <si>
    <t>January</t>
  </si>
  <si>
    <t>February</t>
  </si>
  <si>
    <t>March</t>
  </si>
  <si>
    <t xml:space="preserve">April </t>
  </si>
  <si>
    <t>July 20th</t>
  </si>
  <si>
    <t>Transactions</t>
  </si>
  <si>
    <t>Bill Amount</t>
  </si>
  <si>
    <t>Pre Gmv</t>
  </si>
  <si>
    <t xml:space="preserve">Bill Amount </t>
  </si>
  <si>
    <t>Pre gmv - dis</t>
  </si>
  <si>
    <t>Post Gmv</t>
  </si>
  <si>
    <t xml:space="preserve">Bill Amount - Base Discount </t>
  </si>
  <si>
    <t>Instant Discount</t>
  </si>
  <si>
    <t xml:space="preserve">Base Discount </t>
  </si>
  <si>
    <t>Dis / Pre gmv</t>
  </si>
  <si>
    <t xml:space="preserve">Base discount / Bill Amount </t>
  </si>
  <si>
    <t>commission amt + tax on comm</t>
  </si>
  <si>
    <t>Commission</t>
  </si>
  <si>
    <t>Commission + GST</t>
  </si>
  <si>
    <t>commission / post gmv</t>
  </si>
  <si>
    <t>Commission%</t>
  </si>
  <si>
    <t>Commission + GST / Post GMV</t>
  </si>
  <si>
    <t>Additions &amp; Deductions</t>
  </si>
  <si>
    <t xml:space="preserve">Formula applicable for current month 
Previous month entire amount will be given </t>
  </si>
  <si>
    <t>Total Ads Amount (including gst )/ No of days for that month * no of days till the data is made</t>
  </si>
  <si>
    <t>post gmv - comm - ads</t>
  </si>
  <si>
    <t>post gmv - com - ads</t>
  </si>
  <si>
    <t>Net Payout / Pre Gmv</t>
  </si>
  <si>
    <t xml:space="preserve">net payout / pre gmv </t>
  </si>
  <si>
    <t>1- Net Payout %</t>
  </si>
  <si>
    <t>1- net payout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</si>
</sst>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#,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sz val="11.0"/>
      <color rgb="FF02060C"/>
      <name val="Gilroy"/>
    </font>
    <font>
      <sz val="11.0"/>
      <color rgb="FF02060C"/>
      <name val="Arial"/>
    </font>
    <font>
      <sz val="11.0"/>
      <color rgb="FF1F1F1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3" fontId="1" numFmtId="0" xfId="0" applyAlignment="1" applyFill="1" applyFont="1">
      <alignment readingOrder="0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0" fillId="0" fontId="4" numFmtId="0" xfId="0" applyAlignment="1" applyFont="1">
      <alignment readingOrder="0"/>
    </xf>
    <xf borderId="4" fillId="3" fontId="2" numFmtId="0" xfId="0" applyAlignment="1" applyBorder="1" applyFont="1">
      <alignment horizontal="center" vertical="bottom"/>
    </xf>
    <xf borderId="4" fillId="3" fontId="1" numFmtId="164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4" fillId="0" fontId="2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5" numFmtId="10" xfId="0" applyAlignment="1" applyBorder="1" applyFont="1" applyNumberFormat="1">
      <alignment horizontal="center" vertical="bottom"/>
    </xf>
    <xf borderId="4" fillId="0" fontId="5" numFmtId="4" xfId="0" applyAlignment="1" applyBorder="1" applyFont="1" applyNumberFormat="1">
      <alignment horizontal="center" vertical="bottom"/>
    </xf>
    <xf borderId="4" fillId="6" fontId="5" numFmtId="10" xfId="0" applyAlignment="1" applyBorder="1" applyFill="1" applyFont="1" applyNumberFormat="1">
      <alignment horizontal="center" vertical="bottom"/>
    </xf>
    <xf borderId="4" fillId="6" fontId="5" numFmtId="3" xfId="0" applyAlignment="1" applyBorder="1" applyFont="1" applyNumberFormat="1">
      <alignment horizontal="center" vertical="bottom"/>
    </xf>
    <xf borderId="0" fillId="6" fontId="6" numFmtId="0" xfId="0" applyAlignment="1" applyFont="1">
      <alignment readingOrder="0"/>
    </xf>
    <xf borderId="0" fillId="6" fontId="7" numFmtId="0" xfId="0" applyAlignment="1" applyFont="1">
      <alignment readingOrder="0"/>
    </xf>
    <xf borderId="4" fillId="6" fontId="5" numFmtId="4" xfId="0" applyAlignment="1" applyBorder="1" applyFont="1" applyNumberFormat="1">
      <alignment horizontal="center" vertical="bottom"/>
    </xf>
    <xf borderId="0" fillId="0" fontId="4" numFmtId="9" xfId="0" applyAlignment="1" applyFont="1" applyNumberFormat="1">
      <alignment readingOrder="0"/>
    </xf>
    <xf borderId="1" fillId="7" fontId="2" numFmtId="0" xfId="0" applyAlignment="1" applyBorder="1" applyFill="1" applyFont="1">
      <alignment horizontal="center" vertical="bottom"/>
    </xf>
    <xf borderId="4" fillId="6" fontId="5" numFmtId="165" xfId="0" applyAlignment="1" applyBorder="1" applyFont="1" applyNumberFormat="1">
      <alignment horizontal="center" vertical="bottom"/>
    </xf>
    <xf borderId="4" fillId="6" fontId="5" numFmtId="0" xfId="0" applyAlignment="1" applyBorder="1" applyFont="1">
      <alignment horizontal="center" vertical="bottom"/>
    </xf>
    <xf borderId="4" fillId="0" fontId="5" numFmtId="165" xfId="0" applyAlignment="1" applyBorder="1" applyFont="1" applyNumberFormat="1">
      <alignment horizontal="center" vertical="bottom"/>
    </xf>
    <xf borderId="4" fillId="0" fontId="5" numFmtId="1" xfId="0" applyAlignment="1" applyBorder="1" applyFont="1" applyNumberFormat="1">
      <alignment horizontal="center" vertical="bottom"/>
    </xf>
    <xf borderId="4" fillId="0" fontId="5" numFmtId="3" xfId="0" applyAlignment="1" applyBorder="1" applyFont="1" applyNumberFormat="1">
      <alignment horizontal="center" vertical="bottom"/>
    </xf>
    <xf borderId="0" fillId="6" fontId="8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4" max="4" width="24.5"/>
    <col customWidth="1" min="5" max="5" width="36.13"/>
    <col customWidth="1" min="12" max="12" width="13.63"/>
    <col customWidth="1" min="13" max="13" width="32.75"/>
    <col customWidth="1" min="14" max="14" width="36.88"/>
    <col customWidth="1" min="15" max="15" width="30.5"/>
  </cols>
  <sheetData>
    <row r="1">
      <c r="E1" s="1" t="s">
        <v>0</v>
      </c>
    </row>
    <row r="2">
      <c r="E2" s="2" t="s">
        <v>1</v>
      </c>
      <c r="F2" s="3"/>
      <c r="G2" s="3"/>
      <c r="H2" s="4"/>
      <c r="J2" s="5" t="s">
        <v>2</v>
      </c>
      <c r="O2" s="6" t="s">
        <v>3</v>
      </c>
      <c r="P2" s="3"/>
      <c r="Q2" s="3"/>
      <c r="R2" s="3"/>
      <c r="S2" s="3"/>
      <c r="T2" s="3"/>
      <c r="U2" s="4"/>
    </row>
    <row r="3">
      <c r="E3" s="7" t="s">
        <v>4</v>
      </c>
      <c r="F3" s="3"/>
      <c r="G3" s="3"/>
      <c r="H3" s="4"/>
      <c r="L3" s="8" t="s">
        <v>5</v>
      </c>
      <c r="M3" s="8" t="s">
        <v>6</v>
      </c>
      <c r="O3" s="9" t="s">
        <v>7</v>
      </c>
      <c r="P3" s="9" t="s">
        <v>8</v>
      </c>
      <c r="Q3" s="9" t="s">
        <v>9</v>
      </c>
      <c r="R3" s="9" t="s">
        <v>10</v>
      </c>
      <c r="S3" s="9" t="s">
        <v>11</v>
      </c>
      <c r="T3" s="9" t="s">
        <v>12</v>
      </c>
      <c r="U3" s="9" t="s">
        <v>13</v>
      </c>
    </row>
    <row r="4">
      <c r="E4" s="9" t="s">
        <v>7</v>
      </c>
      <c r="F4" s="9" t="s">
        <v>11</v>
      </c>
      <c r="G4" s="9" t="s">
        <v>14</v>
      </c>
      <c r="H4" s="10">
        <v>46223.0</v>
      </c>
      <c r="I4" s="11"/>
      <c r="L4" s="8" t="s">
        <v>15</v>
      </c>
      <c r="M4" s="8" t="s">
        <v>6</v>
      </c>
      <c r="N4" s="8" t="s">
        <v>16</v>
      </c>
      <c r="O4" s="12" t="s">
        <v>16</v>
      </c>
      <c r="P4" s="13">
        <v>484.0</v>
      </c>
      <c r="Q4" s="13">
        <v>602.0</v>
      </c>
      <c r="R4" s="13">
        <v>490.0</v>
      </c>
      <c r="S4" s="13">
        <f>58+45+55+57</f>
        <v>215</v>
      </c>
      <c r="T4" s="13">
        <f>42+43+49+18+46</f>
        <v>198</v>
      </c>
      <c r="U4" s="13">
        <f>33+47+48+56</f>
        <v>184</v>
      </c>
    </row>
    <row r="5">
      <c r="E5" s="12" t="s">
        <v>16</v>
      </c>
      <c r="F5" s="13">
        <v>103.0</v>
      </c>
      <c r="G5" s="13">
        <v>131.0</v>
      </c>
      <c r="H5" s="13">
        <v>47.0</v>
      </c>
      <c r="L5" s="8"/>
      <c r="M5" s="8"/>
      <c r="N5" s="8" t="s">
        <v>17</v>
      </c>
      <c r="O5" s="14" t="s">
        <v>18</v>
      </c>
      <c r="P5" s="13"/>
      <c r="Q5" s="13"/>
      <c r="R5" s="13"/>
      <c r="S5" s="13"/>
      <c r="T5" s="13"/>
      <c r="U5" s="13"/>
    </row>
    <row r="6">
      <c r="E6" s="14" t="s">
        <v>19</v>
      </c>
      <c r="F6" s="13"/>
      <c r="G6" s="13"/>
      <c r="H6" s="13"/>
      <c r="L6" s="8"/>
      <c r="M6" s="8"/>
      <c r="N6" s="8" t="s">
        <v>20</v>
      </c>
      <c r="O6" s="14" t="s">
        <v>21</v>
      </c>
      <c r="P6" s="13"/>
      <c r="Q6" s="13"/>
      <c r="R6" s="13"/>
      <c r="S6" s="13"/>
      <c r="T6" s="13"/>
      <c r="U6" s="13"/>
    </row>
    <row r="7">
      <c r="E7" s="14" t="s">
        <v>20</v>
      </c>
      <c r="F7" s="13"/>
      <c r="G7" s="13"/>
      <c r="H7" s="13"/>
      <c r="L7" s="8" t="s">
        <v>22</v>
      </c>
      <c r="M7" s="8" t="s">
        <v>6</v>
      </c>
      <c r="N7" s="8" t="s">
        <v>23</v>
      </c>
      <c r="O7" s="12" t="s">
        <v>24</v>
      </c>
      <c r="P7" s="13">
        <v>226257.0</v>
      </c>
      <c r="Q7" s="13">
        <v>279293.0</v>
      </c>
      <c r="R7" s="13">
        <v>289007.0</v>
      </c>
      <c r="S7" s="13">
        <f>54400+2396+44475+1823+46620+1876+60065+2466</f>
        <v>214121</v>
      </c>
      <c r="T7" s="13">
        <f>33634+1408+31435+1307+45145+1979+14785+624+45660+1816</f>
        <v>177793</v>
      </c>
      <c r="U7" s="13">
        <f>30140+1244+48535+2017+44845+1865+49780+1886</f>
        <v>180312</v>
      </c>
    </row>
    <row r="8">
      <c r="E8" s="14" t="s">
        <v>25</v>
      </c>
      <c r="F8" s="13">
        <f>94245+1780</f>
        <v>96025</v>
      </c>
      <c r="G8" s="13">
        <f>114903+2170</f>
        <v>117073</v>
      </c>
      <c r="H8" s="13">
        <f>43452+780</f>
        <v>44232</v>
      </c>
      <c r="L8" s="8" t="s">
        <v>26</v>
      </c>
      <c r="M8" s="8" t="s">
        <v>6</v>
      </c>
      <c r="N8" s="8" t="s">
        <v>27</v>
      </c>
      <c r="O8" s="12" t="s">
        <v>28</v>
      </c>
      <c r="P8" s="13">
        <v>21179.0</v>
      </c>
      <c r="Q8" s="13">
        <v>31903.0</v>
      </c>
      <c r="R8" s="13">
        <v>33842.0</v>
      </c>
      <c r="S8" s="13">
        <f>2200+1650+1650+5026</f>
        <v>10526</v>
      </c>
      <c r="T8" s="13">
        <f>825+1925+3025+825+2200</f>
        <v>8800</v>
      </c>
      <c r="U8" s="13">
        <f>1375+2475+1925+2475</f>
        <v>8250</v>
      </c>
    </row>
    <row r="9">
      <c r="E9" s="12" t="s">
        <v>29</v>
      </c>
      <c r="F9" s="13">
        <v>302.0</v>
      </c>
      <c r="G9" s="13">
        <v>230.0</v>
      </c>
      <c r="H9" s="13">
        <v>0.0</v>
      </c>
      <c r="N9" s="8" t="s">
        <v>30</v>
      </c>
      <c r="O9" s="12" t="s">
        <v>31</v>
      </c>
      <c r="P9" s="15">
        <v>0.09360594368351034</v>
      </c>
      <c r="Q9" s="15">
        <v>0.11422771068376221</v>
      </c>
      <c r="R9" s="15">
        <v>0.11709750974889882</v>
      </c>
      <c r="S9" s="15">
        <f t="shared" ref="S9:U9" si="1">S8/S7</f>
        <v>0.04915912031</v>
      </c>
      <c r="T9" s="15">
        <f t="shared" si="1"/>
        <v>0.04949576193</v>
      </c>
      <c r="U9" s="15">
        <f t="shared" si="1"/>
        <v>0.04575402635</v>
      </c>
    </row>
    <row r="10">
      <c r="E10" s="12" t="s">
        <v>28</v>
      </c>
      <c r="F10" s="13">
        <f>12237+6205</f>
        <v>18442</v>
      </c>
      <c r="G10" s="13">
        <f>14210+7430</f>
        <v>21640</v>
      </c>
      <c r="H10" s="13">
        <f>5660+923</f>
        <v>6583</v>
      </c>
      <c r="N10" s="8" t="s">
        <v>32</v>
      </c>
      <c r="O10" s="12" t="s">
        <v>33</v>
      </c>
      <c r="P10" s="16">
        <v>205078.0</v>
      </c>
      <c r="Q10" s="16">
        <v>247390.0</v>
      </c>
      <c r="R10" s="16">
        <v>255165.0</v>
      </c>
      <c r="S10" s="13">
        <f>57325+46880+49188+60379</f>
        <v>213772</v>
      </c>
      <c r="T10" s="13">
        <f>35927+32357+46303+15313+47539</f>
        <v>177439</v>
      </c>
      <c r="U10" s="13">
        <f>31509+50480+47024+51650</f>
        <v>180663</v>
      </c>
    </row>
    <row r="11">
      <c r="E11" s="12" t="s">
        <v>31</v>
      </c>
      <c r="F11" s="17">
        <f t="shared" ref="F11:H11" si="2">F10/F8</f>
        <v>0.1920541526</v>
      </c>
      <c r="G11" s="17">
        <f t="shared" si="2"/>
        <v>0.1848419362</v>
      </c>
      <c r="H11" s="17">
        <f t="shared" si="2"/>
        <v>0.1488289022</v>
      </c>
      <c r="N11" s="8" t="s">
        <v>34</v>
      </c>
      <c r="O11" s="12" t="s">
        <v>35</v>
      </c>
      <c r="P11" s="13">
        <v>57051.0</v>
      </c>
      <c r="Q11" s="13">
        <v>68689.0</v>
      </c>
      <c r="R11" s="13">
        <v>70183.0</v>
      </c>
      <c r="S11" s="13">
        <f>15164+12358+12959+15801</f>
        <v>56282</v>
      </c>
      <c r="T11" s="13">
        <f>9468+8518+12185+3998+12388</f>
        <v>46557</v>
      </c>
      <c r="U11" s="13">
        <f>8279+13269+12396+13502</f>
        <v>47446</v>
      </c>
    </row>
    <row r="12">
      <c r="E12" s="12" t="s">
        <v>36</v>
      </c>
      <c r="F12" s="18">
        <v>81462.0</v>
      </c>
      <c r="G12" s="18">
        <v>100204.0</v>
      </c>
      <c r="H12" s="18">
        <v>39531.0</v>
      </c>
      <c r="N12" s="19" t="s">
        <v>37</v>
      </c>
      <c r="O12" s="12" t="s">
        <v>38</v>
      </c>
      <c r="P12" s="13">
        <f>445+411</f>
        <v>856</v>
      </c>
      <c r="Q12" s="13">
        <f>38+114+98+93</f>
        <v>343</v>
      </c>
      <c r="R12" s="13">
        <f>838+54</f>
        <v>892</v>
      </c>
      <c r="S12" s="13">
        <f>84+237</f>
        <v>321</v>
      </c>
      <c r="T12" s="13">
        <f>180+0+0</f>
        <v>180</v>
      </c>
      <c r="U12" s="13">
        <v>0.0</v>
      </c>
    </row>
    <row r="13">
      <c r="E13" s="12" t="s">
        <v>39</v>
      </c>
      <c r="F13" s="13">
        <v>21503.0</v>
      </c>
      <c r="G13" s="13">
        <v>25831.0</v>
      </c>
      <c r="H13" s="13">
        <v>10352.0</v>
      </c>
      <c r="N13" s="8" t="s">
        <v>40</v>
      </c>
      <c r="O13" s="12" t="s">
        <v>41</v>
      </c>
      <c r="P13" s="13">
        <f>2749+3213+2306+2167</f>
        <v>10435</v>
      </c>
      <c r="Q13" s="13">
        <f>1593+2735+2451+2723+3093</f>
        <v>12595</v>
      </c>
      <c r="R13" s="13">
        <f>1730+3415+2462+3584+1773</f>
        <v>12964</v>
      </c>
      <c r="S13" s="13">
        <f>2784+2277+2385+2921</f>
        <v>10367</v>
      </c>
      <c r="T13" s="13">
        <f>1736+1571+2249+816+2309</f>
        <v>8681</v>
      </c>
      <c r="U13" s="13">
        <f>1530+2451+2284+2754</f>
        <v>9019</v>
      </c>
    </row>
    <row r="14">
      <c r="E14" s="12" t="s">
        <v>42</v>
      </c>
      <c r="F14" s="13">
        <v>7811.0</v>
      </c>
      <c r="G14" s="13">
        <v>9516.0</v>
      </c>
      <c r="H14" s="13">
        <v>3783.0</v>
      </c>
      <c r="N14" s="20" t="s">
        <v>43</v>
      </c>
      <c r="O14" s="12" t="s">
        <v>44</v>
      </c>
      <c r="P14" s="13">
        <v>0.0</v>
      </c>
      <c r="Q14" s="13">
        <v>0.0</v>
      </c>
      <c r="R14" s="13">
        <v>0.0</v>
      </c>
      <c r="S14" s="13">
        <f>0</f>
        <v>0</v>
      </c>
      <c r="T14" s="13">
        <f t="shared" ref="T14:U14" si="3">0+0+0+0+0</f>
        <v>0</v>
      </c>
      <c r="U14" s="13">
        <f t="shared" si="3"/>
        <v>0</v>
      </c>
    </row>
    <row r="15">
      <c r="E15" s="12" t="s">
        <v>44</v>
      </c>
      <c r="F15" s="13">
        <v>9897.0</v>
      </c>
      <c r="G15" s="13">
        <v>19577.0</v>
      </c>
      <c r="H15" s="13">
        <v>4048.0</v>
      </c>
      <c r="N15" s="8" t="s">
        <v>45</v>
      </c>
      <c r="O15" s="12" t="s">
        <v>46</v>
      </c>
      <c r="P15" s="15">
        <v>0.0</v>
      </c>
      <c r="Q15" s="15">
        <v>0.0</v>
      </c>
      <c r="R15" s="15">
        <v>0.0</v>
      </c>
      <c r="S15" s="15">
        <f t="shared" ref="S15:U15" si="4">S14/S7</f>
        <v>0</v>
      </c>
      <c r="T15" s="15">
        <f t="shared" si="4"/>
        <v>0</v>
      </c>
      <c r="U15" s="15">
        <f t="shared" si="4"/>
        <v>0</v>
      </c>
    </row>
    <row r="16">
      <c r="E16" s="12" t="s">
        <v>46</v>
      </c>
      <c r="F16" s="17">
        <f t="shared" ref="F16:H16" si="5">F15/F8</f>
        <v>0.1030669097</v>
      </c>
      <c r="G16" s="17">
        <f t="shared" si="5"/>
        <v>0.1672204522</v>
      </c>
      <c r="H16" s="17">
        <f t="shared" si="5"/>
        <v>0.09151745343</v>
      </c>
      <c r="N16" s="8" t="s">
        <v>47</v>
      </c>
      <c r="O16" s="12" t="s">
        <v>47</v>
      </c>
      <c r="P16" s="16">
        <v>148027.0</v>
      </c>
      <c r="Q16" s="16">
        <v>178701.0</v>
      </c>
      <c r="R16" s="16">
        <v>184982.0</v>
      </c>
      <c r="S16" s="13">
        <f>39376+32244+33759+41419</f>
        <v>146798</v>
      </c>
      <c r="T16" s="13">
        <f>24542+22268+31869+10497+32842</f>
        <v>122018</v>
      </c>
      <c r="U16" s="13">
        <f>21681+34758+32344+35392</f>
        <v>124175</v>
      </c>
    </row>
    <row r="17">
      <c r="E17" s="12" t="s">
        <v>48</v>
      </c>
      <c r="F17" s="21">
        <v>0.0</v>
      </c>
      <c r="G17" s="21">
        <v>0.0</v>
      </c>
      <c r="H17" s="21">
        <v>0.0</v>
      </c>
      <c r="N17" s="8" t="s">
        <v>49</v>
      </c>
      <c r="O17" s="12" t="s">
        <v>50</v>
      </c>
      <c r="P17" s="15">
        <v>0.6542427416610315</v>
      </c>
      <c r="Q17" s="15">
        <v>0.6398334365701969</v>
      </c>
      <c r="R17" s="15">
        <v>0.6400606213690326</v>
      </c>
      <c r="S17" s="15">
        <f t="shared" ref="S17:U17" si="6">S16/S7</f>
        <v>0.6855843191</v>
      </c>
      <c r="T17" s="15">
        <f t="shared" si="6"/>
        <v>0.6862924862</v>
      </c>
      <c r="U17" s="15">
        <f t="shared" si="6"/>
        <v>0.6886674209</v>
      </c>
    </row>
    <row r="18">
      <c r="E18" s="12" t="s">
        <v>47</v>
      </c>
      <c r="F18" s="18">
        <f t="shared" ref="F18:H18" si="7">F12-F13-F14-F15+F9</f>
        <v>42553</v>
      </c>
      <c r="G18" s="18">
        <f t="shared" si="7"/>
        <v>45510</v>
      </c>
      <c r="H18" s="18">
        <f t="shared" si="7"/>
        <v>21348</v>
      </c>
      <c r="M18" s="8" t="s">
        <v>44</v>
      </c>
      <c r="N18" s="8" t="s">
        <v>51</v>
      </c>
      <c r="O18" s="12" t="s">
        <v>52</v>
      </c>
      <c r="P18" s="15">
        <v>0.34575725833896853</v>
      </c>
      <c r="Q18" s="15">
        <v>0.36016656342980313</v>
      </c>
      <c r="R18" s="15">
        <v>0.35993937863096737</v>
      </c>
      <c r="S18" s="15">
        <f t="shared" ref="S18:U18" si="8">1-S17</f>
        <v>0.3144156809</v>
      </c>
      <c r="T18" s="15">
        <f t="shared" si="8"/>
        <v>0.3137075138</v>
      </c>
      <c r="U18" s="15">
        <f t="shared" si="8"/>
        <v>0.3113325791</v>
      </c>
    </row>
    <row r="19">
      <c r="E19" s="12" t="s">
        <v>53</v>
      </c>
      <c r="F19" s="21">
        <f t="shared" ref="F19:H19" si="9">F18+F17</f>
        <v>42553</v>
      </c>
      <c r="G19" s="21">
        <f t="shared" si="9"/>
        <v>45510</v>
      </c>
      <c r="H19" s="21">
        <f t="shared" si="9"/>
        <v>21348</v>
      </c>
      <c r="M19" s="8" t="s">
        <v>54</v>
      </c>
      <c r="N19" s="22"/>
    </row>
    <row r="20">
      <c r="E20" s="12" t="s">
        <v>50</v>
      </c>
      <c r="F20" s="17">
        <f t="shared" ref="F20:H20" si="10">F19/F8</f>
        <v>0.4431450143</v>
      </c>
      <c r="G20" s="17">
        <f t="shared" si="10"/>
        <v>0.3887318169</v>
      </c>
      <c r="H20" s="17">
        <f t="shared" si="10"/>
        <v>0.4826370049</v>
      </c>
    </row>
    <row r="21">
      <c r="E21" s="12" t="s">
        <v>52</v>
      </c>
      <c r="F21" s="17">
        <f t="shared" ref="F21:H21" si="11">1-F20</f>
        <v>0.5568549857</v>
      </c>
      <c r="G21" s="17">
        <f t="shared" si="11"/>
        <v>0.6112681831</v>
      </c>
      <c r="H21" s="17">
        <f t="shared" si="11"/>
        <v>0.5173629951</v>
      </c>
      <c r="M21" s="8" t="s">
        <v>55</v>
      </c>
    </row>
    <row r="23">
      <c r="E23" s="1" t="s">
        <v>56</v>
      </c>
    </row>
    <row r="24">
      <c r="E24" s="23" t="s">
        <v>22</v>
      </c>
      <c r="F24" s="3"/>
      <c r="G24" s="3"/>
      <c r="H24" s="3"/>
      <c r="I24" s="3"/>
      <c r="J24" s="3"/>
      <c r="K24" s="4"/>
      <c r="O24" s="7" t="s">
        <v>57</v>
      </c>
      <c r="P24" s="3"/>
      <c r="Q24" s="3"/>
      <c r="R24" s="3"/>
      <c r="S24" s="3"/>
      <c r="T24" s="3"/>
      <c r="U24" s="3"/>
      <c r="V24" s="4"/>
    </row>
    <row r="25">
      <c r="E25" s="9" t="s">
        <v>7</v>
      </c>
      <c r="F25" s="9" t="s">
        <v>8</v>
      </c>
      <c r="G25" s="9" t="s">
        <v>9</v>
      </c>
      <c r="H25" s="9" t="s">
        <v>10</v>
      </c>
      <c r="I25" s="9" t="s">
        <v>11</v>
      </c>
      <c r="J25" s="9" t="s">
        <v>12</v>
      </c>
      <c r="K25" s="9" t="s">
        <v>58</v>
      </c>
      <c r="O25" s="9" t="s">
        <v>7</v>
      </c>
      <c r="P25" s="9" t="s">
        <v>59</v>
      </c>
      <c r="Q25" s="9" t="s">
        <v>60</v>
      </c>
      <c r="R25" s="9" t="s">
        <v>61</v>
      </c>
      <c r="S25" s="9" t="s">
        <v>62</v>
      </c>
      <c r="T25" s="9" t="s">
        <v>11</v>
      </c>
      <c r="U25" s="9" t="s">
        <v>12</v>
      </c>
      <c r="V25" s="9" t="s">
        <v>63</v>
      </c>
    </row>
    <row r="26">
      <c r="E26" s="12" t="s">
        <v>64</v>
      </c>
      <c r="F26" s="24">
        <v>29.0</v>
      </c>
      <c r="G26" s="24">
        <v>43.0</v>
      </c>
      <c r="H26" s="24">
        <v>53.0</v>
      </c>
      <c r="I26" s="24">
        <v>70.0</v>
      </c>
      <c r="J26" s="24">
        <v>59.0</v>
      </c>
      <c r="K26" s="24">
        <v>57.0</v>
      </c>
      <c r="O26" s="12" t="s">
        <v>64</v>
      </c>
      <c r="P26" s="24">
        <v>30.0</v>
      </c>
      <c r="Q26" s="24">
        <v>67.0</v>
      </c>
      <c r="R26" s="24">
        <v>74.0</v>
      </c>
      <c r="S26" s="24">
        <v>122.0</v>
      </c>
      <c r="T26" s="24">
        <v>102.0</v>
      </c>
      <c r="U26" s="13">
        <v>104.0</v>
      </c>
      <c r="V26" s="13">
        <v>62.0</v>
      </c>
    </row>
    <row r="27">
      <c r="D27" s="8" t="s">
        <v>65</v>
      </c>
      <c r="E27" s="12" t="s">
        <v>66</v>
      </c>
      <c r="F27" s="24">
        <v>100026.0</v>
      </c>
      <c r="G27" s="24">
        <v>137777.0</v>
      </c>
      <c r="H27" s="24">
        <v>241123.0</v>
      </c>
      <c r="I27" s="24">
        <v>234872.0</v>
      </c>
      <c r="J27" s="24">
        <v>200781.0</v>
      </c>
      <c r="K27" s="24">
        <v>228189.0</v>
      </c>
      <c r="N27" s="8" t="s">
        <v>67</v>
      </c>
      <c r="O27" s="12" t="s">
        <v>66</v>
      </c>
      <c r="P27" s="25">
        <v>153858.0</v>
      </c>
      <c r="Q27" s="25">
        <v>265820.0</v>
      </c>
      <c r="R27" s="25">
        <v>337325.0</v>
      </c>
      <c r="S27" s="25">
        <v>645220.0</v>
      </c>
      <c r="T27" s="25">
        <v>401102.0</v>
      </c>
      <c r="U27" s="13">
        <v>523784.0</v>
      </c>
      <c r="V27" s="13">
        <v>325986.0</v>
      </c>
    </row>
    <row r="28">
      <c r="D28" s="8" t="s">
        <v>68</v>
      </c>
      <c r="E28" s="12" t="s">
        <v>69</v>
      </c>
      <c r="F28" s="24">
        <f t="shared" ref="F28:K28" si="12">F27-F29</f>
        <v>100026</v>
      </c>
      <c r="G28" s="24">
        <f t="shared" si="12"/>
        <v>137777</v>
      </c>
      <c r="H28" s="24">
        <f t="shared" si="12"/>
        <v>241123</v>
      </c>
      <c r="I28" s="24">
        <f t="shared" si="12"/>
        <v>234872</v>
      </c>
      <c r="J28" s="24">
        <f t="shared" si="12"/>
        <v>196337</v>
      </c>
      <c r="K28" s="24">
        <f t="shared" si="12"/>
        <v>218133</v>
      </c>
      <c r="N28" s="8" t="s">
        <v>70</v>
      </c>
      <c r="O28" s="12" t="s">
        <v>69</v>
      </c>
      <c r="P28" s="24">
        <f t="shared" ref="P28:V28" si="13">P27-P29</f>
        <v>153858</v>
      </c>
      <c r="Q28" s="24">
        <f t="shared" si="13"/>
        <v>265820</v>
      </c>
      <c r="R28" s="24">
        <f t="shared" si="13"/>
        <v>322558</v>
      </c>
      <c r="S28" s="24">
        <f t="shared" si="13"/>
        <v>594251</v>
      </c>
      <c r="T28" s="24">
        <f t="shared" si="13"/>
        <v>366938</v>
      </c>
      <c r="U28" s="13">
        <f t="shared" si="13"/>
        <v>463692</v>
      </c>
      <c r="V28" s="13">
        <f t="shared" si="13"/>
        <v>287470</v>
      </c>
    </row>
    <row r="29">
      <c r="D29" s="8" t="s">
        <v>71</v>
      </c>
      <c r="E29" s="12" t="s">
        <v>28</v>
      </c>
      <c r="F29" s="13">
        <v>0.0</v>
      </c>
      <c r="G29" s="13">
        <v>0.0</v>
      </c>
      <c r="H29" s="13">
        <v>0.0</v>
      </c>
      <c r="I29" s="13">
        <v>0.0</v>
      </c>
      <c r="J29" s="13">
        <v>4444.0</v>
      </c>
      <c r="K29" s="13">
        <v>10056.0</v>
      </c>
      <c r="N29" s="8" t="s">
        <v>72</v>
      </c>
      <c r="O29" s="12" t="s">
        <v>28</v>
      </c>
      <c r="P29" s="13">
        <v>0.0</v>
      </c>
      <c r="Q29" s="13">
        <v>0.0</v>
      </c>
      <c r="R29" s="13">
        <v>14767.0</v>
      </c>
      <c r="S29" s="13">
        <v>50969.0</v>
      </c>
      <c r="T29" s="26">
        <v>34164.0</v>
      </c>
      <c r="U29" s="13">
        <v>60092.0</v>
      </c>
      <c r="V29" s="13">
        <v>38516.0</v>
      </c>
    </row>
    <row r="30">
      <c r="D30" s="8" t="s">
        <v>73</v>
      </c>
      <c r="E30" s="12" t="s">
        <v>31</v>
      </c>
      <c r="F30" s="15">
        <f t="shared" ref="F30:K30" si="14">F29/F27</f>
        <v>0</v>
      </c>
      <c r="G30" s="15">
        <f t="shared" si="14"/>
        <v>0</v>
      </c>
      <c r="H30" s="15">
        <f t="shared" si="14"/>
        <v>0</v>
      </c>
      <c r="I30" s="15">
        <f t="shared" si="14"/>
        <v>0</v>
      </c>
      <c r="J30" s="15">
        <f t="shared" si="14"/>
        <v>0.02213356842</v>
      </c>
      <c r="K30" s="15">
        <f t="shared" si="14"/>
        <v>0.0440687325</v>
      </c>
      <c r="N30" s="8" t="s">
        <v>74</v>
      </c>
      <c r="O30" s="12" t="s">
        <v>31</v>
      </c>
      <c r="P30" s="15">
        <f t="shared" ref="P30:V30" si="15">P29/P27</f>
        <v>0</v>
      </c>
      <c r="Q30" s="15">
        <f t="shared" si="15"/>
        <v>0</v>
      </c>
      <c r="R30" s="15">
        <f t="shared" si="15"/>
        <v>0.04377677314</v>
      </c>
      <c r="S30" s="15">
        <f t="shared" si="15"/>
        <v>0.07899476148</v>
      </c>
      <c r="T30" s="15">
        <f t="shared" si="15"/>
        <v>0.08517534193</v>
      </c>
      <c r="U30" s="15">
        <f t="shared" si="15"/>
        <v>0.1147266812</v>
      </c>
      <c r="V30" s="15">
        <f t="shared" si="15"/>
        <v>0.1181523133</v>
      </c>
    </row>
    <row r="31">
      <c r="D31" s="8" t="s">
        <v>75</v>
      </c>
      <c r="E31" s="12" t="s">
        <v>76</v>
      </c>
      <c r="F31" s="27">
        <v>4721.0</v>
      </c>
      <c r="G31" s="27">
        <v>6503.0</v>
      </c>
      <c r="H31" s="27">
        <v>11381.0</v>
      </c>
      <c r="I31" s="27">
        <v>10992.0</v>
      </c>
      <c r="J31" s="27">
        <v>9267.0</v>
      </c>
      <c r="K31" s="27">
        <v>10295.0</v>
      </c>
      <c r="N31" s="8" t="s">
        <v>77</v>
      </c>
      <c r="O31" s="12" t="s">
        <v>76</v>
      </c>
      <c r="P31" s="27">
        <v>7680.0</v>
      </c>
      <c r="Q31" s="27">
        <v>13107.0</v>
      </c>
      <c r="R31" s="27">
        <v>16100.0</v>
      </c>
      <c r="S31" s="27">
        <v>29632.0</v>
      </c>
      <c r="T31" s="27">
        <v>18103.0</v>
      </c>
      <c r="U31" s="13">
        <v>22991.0</v>
      </c>
      <c r="V31" s="13">
        <v>14236.0</v>
      </c>
    </row>
    <row r="32">
      <c r="D32" s="8" t="s">
        <v>78</v>
      </c>
      <c r="E32" s="12" t="s">
        <v>79</v>
      </c>
      <c r="F32" s="15">
        <f t="shared" ref="F32:K32" si="16">F31/F28</f>
        <v>0.04719772859</v>
      </c>
      <c r="G32" s="15">
        <f t="shared" si="16"/>
        <v>0.04719946</v>
      </c>
      <c r="H32" s="15">
        <f t="shared" si="16"/>
        <v>0.04719997678</v>
      </c>
      <c r="I32" s="15">
        <f t="shared" si="16"/>
        <v>0.04679995913</v>
      </c>
      <c r="J32" s="15">
        <f t="shared" si="16"/>
        <v>0.04719945807</v>
      </c>
      <c r="K32" s="15">
        <f t="shared" si="16"/>
        <v>0.04719597677</v>
      </c>
      <c r="N32" s="8" t="s">
        <v>80</v>
      </c>
      <c r="O32" s="12" t="s">
        <v>79</v>
      </c>
      <c r="P32" s="15">
        <f t="shared" ref="P32:V32" si="17">P31/P28</f>
        <v>0.04991615646</v>
      </c>
      <c r="Q32" s="15">
        <f t="shared" si="17"/>
        <v>0.04930780227</v>
      </c>
      <c r="R32" s="15">
        <f t="shared" si="17"/>
        <v>0.04991350393</v>
      </c>
      <c r="S32" s="15">
        <f t="shared" si="17"/>
        <v>0.04986445122</v>
      </c>
      <c r="T32" s="15">
        <f t="shared" si="17"/>
        <v>0.04933531005</v>
      </c>
      <c r="U32" s="15">
        <f t="shared" si="17"/>
        <v>0.04958248147</v>
      </c>
      <c r="V32" s="15">
        <f t="shared" si="17"/>
        <v>0.04952168922</v>
      </c>
    </row>
    <row r="33">
      <c r="D33" s="8" t="s">
        <v>81</v>
      </c>
      <c r="E33" s="12" t="s">
        <v>44</v>
      </c>
      <c r="F33" s="13">
        <v>0.0</v>
      </c>
      <c r="G33" s="13">
        <v>0.0</v>
      </c>
      <c r="H33" s="13">
        <v>0.0</v>
      </c>
      <c r="I33" s="13">
        <v>0.0</v>
      </c>
      <c r="J33" s="13">
        <v>17737.0</v>
      </c>
      <c r="K33" s="13">
        <v>12502.0</v>
      </c>
      <c r="M33" s="8" t="s">
        <v>82</v>
      </c>
      <c r="N33" s="8" t="s">
        <v>83</v>
      </c>
      <c r="O33" s="12" t="s">
        <v>44</v>
      </c>
      <c r="P33" s="28">
        <f>25000 *118%</f>
        <v>29500</v>
      </c>
      <c r="Q33" s="28">
        <v>59000.0</v>
      </c>
      <c r="R33" s="28">
        <v>59000.0</v>
      </c>
      <c r="S33" s="28">
        <v>59000.0</v>
      </c>
      <c r="T33" s="29">
        <f>35000*118%</f>
        <v>41300</v>
      </c>
      <c r="U33" s="13">
        <f>50000*118%</f>
        <v>59000</v>
      </c>
      <c r="V33" s="13">
        <v>38064.0</v>
      </c>
    </row>
    <row r="34">
      <c r="D34" s="8" t="s">
        <v>84</v>
      </c>
      <c r="E34" s="12" t="s">
        <v>47</v>
      </c>
      <c r="F34" s="26">
        <f t="shared" ref="F34:K34" si="18">F28-F31-F33</f>
        <v>95305</v>
      </c>
      <c r="G34" s="26">
        <f t="shared" si="18"/>
        <v>131274</v>
      </c>
      <c r="H34" s="26">
        <f t="shared" si="18"/>
        <v>229742</v>
      </c>
      <c r="I34" s="26">
        <f t="shared" si="18"/>
        <v>223880</v>
      </c>
      <c r="J34" s="26">
        <f t="shared" si="18"/>
        <v>169333</v>
      </c>
      <c r="K34" s="26">
        <f t="shared" si="18"/>
        <v>195336</v>
      </c>
      <c r="N34" s="8" t="s">
        <v>85</v>
      </c>
      <c r="O34" s="12" t="s">
        <v>47</v>
      </c>
      <c r="P34" s="26">
        <f t="shared" ref="P34:V34" si="19">P28-P31-P33</f>
        <v>116678</v>
      </c>
      <c r="Q34" s="26">
        <f t="shared" si="19"/>
        <v>193713</v>
      </c>
      <c r="R34" s="26">
        <f t="shared" si="19"/>
        <v>247458</v>
      </c>
      <c r="S34" s="26">
        <f t="shared" si="19"/>
        <v>505619</v>
      </c>
      <c r="T34" s="26">
        <f t="shared" si="19"/>
        <v>307535</v>
      </c>
      <c r="U34" s="13">
        <f t="shared" si="19"/>
        <v>381701</v>
      </c>
      <c r="V34" s="13">
        <f t="shared" si="19"/>
        <v>235170</v>
      </c>
    </row>
    <row r="35">
      <c r="D35" s="8" t="s">
        <v>86</v>
      </c>
      <c r="E35" s="12" t="s">
        <v>50</v>
      </c>
      <c r="F35" s="15">
        <f t="shared" ref="F35:K35" si="20">F34/F27</f>
        <v>0.9528022714</v>
      </c>
      <c r="G35" s="15">
        <f t="shared" si="20"/>
        <v>0.95280054</v>
      </c>
      <c r="H35" s="15">
        <f t="shared" si="20"/>
        <v>0.9528000232</v>
      </c>
      <c r="I35" s="15">
        <f t="shared" si="20"/>
        <v>0.9532000409</v>
      </c>
      <c r="J35" s="15">
        <f t="shared" si="20"/>
        <v>0.8433716338</v>
      </c>
      <c r="K35" s="15">
        <f t="shared" si="20"/>
        <v>0.8560272406</v>
      </c>
      <c r="N35" s="8" t="s">
        <v>87</v>
      </c>
      <c r="O35" s="12" t="s">
        <v>50</v>
      </c>
      <c r="P35" s="15">
        <f t="shared" ref="P35:V35" si="21">P34/P27</f>
        <v>0.7583486072</v>
      </c>
      <c r="Q35" s="15">
        <f t="shared" si="21"/>
        <v>0.7287374915</v>
      </c>
      <c r="R35" s="15">
        <f t="shared" si="21"/>
        <v>0.7335892685</v>
      </c>
      <c r="S35" s="15">
        <f t="shared" si="21"/>
        <v>0.7836381389</v>
      </c>
      <c r="T35" s="15">
        <f t="shared" si="21"/>
        <v>0.7667251722</v>
      </c>
      <c r="U35" s="15">
        <f t="shared" si="21"/>
        <v>0.7287374185</v>
      </c>
      <c r="V35" s="15">
        <f t="shared" si="21"/>
        <v>0.721411349</v>
      </c>
    </row>
    <row r="36">
      <c r="D36" s="8" t="s">
        <v>88</v>
      </c>
      <c r="E36" s="12" t="s">
        <v>52</v>
      </c>
      <c r="F36" s="15">
        <f t="shared" ref="F36:K36" si="22">1-F35</f>
        <v>0.04719772859</v>
      </c>
      <c r="G36" s="15">
        <f t="shared" si="22"/>
        <v>0.04719946</v>
      </c>
      <c r="H36" s="15">
        <f t="shared" si="22"/>
        <v>0.04719997678</v>
      </c>
      <c r="I36" s="15">
        <f t="shared" si="22"/>
        <v>0.04679995913</v>
      </c>
      <c r="J36" s="15">
        <f t="shared" si="22"/>
        <v>0.1566283662</v>
      </c>
      <c r="K36" s="15">
        <f t="shared" si="22"/>
        <v>0.1439727594</v>
      </c>
      <c r="N36" s="8" t="s">
        <v>89</v>
      </c>
      <c r="O36" s="12" t="s">
        <v>52</v>
      </c>
      <c r="P36" s="15">
        <f t="shared" ref="P36:V36" si="23">1-P35</f>
        <v>0.2416513928</v>
      </c>
      <c r="Q36" s="15">
        <f t="shared" si="23"/>
        <v>0.2712625085</v>
      </c>
      <c r="R36" s="15">
        <f t="shared" si="23"/>
        <v>0.2664107315</v>
      </c>
      <c r="S36" s="15">
        <f t="shared" si="23"/>
        <v>0.2163618611</v>
      </c>
      <c r="T36" s="15">
        <f t="shared" si="23"/>
        <v>0.2332748278</v>
      </c>
      <c r="U36" s="15">
        <f t="shared" si="23"/>
        <v>0.2712625815</v>
      </c>
      <c r="V36" s="15">
        <f t="shared" si="23"/>
        <v>0.278588651</v>
      </c>
    </row>
  </sheetData>
  <mergeCells count="5">
    <mergeCell ref="E2:H2"/>
    <mergeCell ref="O2:U2"/>
    <mergeCell ref="E3:H3"/>
    <mergeCell ref="E24:K24"/>
    <mergeCell ref="O24:V24"/>
  </mergeCells>
  <drawing r:id="rId1"/>
</worksheet>
</file>
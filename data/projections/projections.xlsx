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" sheetId="1" r:id="rId5"/>
  </sheets>
  <definedNames/>
  <calcPr/>
</workbook>
</file>

<file path=xl/sharedStrings.xml><?xml version="1.0" encoding="utf-8"?>
<sst xmlns="http://schemas.openxmlformats.org/spreadsheetml/2006/main" count="55" uniqueCount="50">
  <si>
    <t>Step By Step Process:</t>
  </si>
  <si>
    <t>Format:</t>
  </si>
  <si>
    <t>Zomato and Swiggy Format:</t>
  </si>
  <si>
    <t>The Qwality Kitchen</t>
  </si>
  <si>
    <t>Upload Data of the brand Past 3 months</t>
  </si>
  <si>
    <t>Metrics</t>
  </si>
  <si>
    <t>April</t>
  </si>
  <si>
    <t>May</t>
  </si>
  <si>
    <t>June</t>
  </si>
  <si>
    <t>Month - 1</t>
  </si>
  <si>
    <t>Month - 2</t>
  </si>
  <si>
    <t>Month - 3</t>
  </si>
  <si>
    <t>Notes</t>
  </si>
  <si>
    <t>Add Discount burn % for next 3 months</t>
  </si>
  <si>
    <t>Orders</t>
  </si>
  <si>
    <t>Menu Opens * M2O</t>
  </si>
  <si>
    <t>Add Ads % for next 3 months</t>
  </si>
  <si>
    <t>Sub Total</t>
  </si>
  <si>
    <t>Orders * AOV</t>
  </si>
  <si>
    <t>Add M2O % for next 3 months</t>
  </si>
  <si>
    <t>AOV</t>
  </si>
  <si>
    <t>Data Given by employees</t>
  </si>
  <si>
    <t>Add Menu Open for next 3 months</t>
  </si>
  <si>
    <t>Packaging Charges</t>
  </si>
  <si>
    <t>Add Packaging charges for next 3 months</t>
  </si>
  <si>
    <t>Sub Total + Packaging Charges</t>
  </si>
  <si>
    <t>Subtotal + Packaging charges</t>
  </si>
  <si>
    <t>Add AOV for next 3 months</t>
  </si>
  <si>
    <t>Merchant Discount Burn</t>
  </si>
  <si>
    <t>Effective Discount *Subtotal</t>
  </si>
  <si>
    <t xml:space="preserve">AI will curate the projections in this format along with the comments and calculation </t>
  </si>
  <si>
    <t>Effective Discount %</t>
  </si>
  <si>
    <t>Commissionable Value
(Sales - Discount)</t>
  </si>
  <si>
    <t xml:space="preserve">Subtotal + Packaging charges - Merchant Discount Burn </t>
  </si>
  <si>
    <t>Advertisement</t>
  </si>
  <si>
    <t>Commissionable Value *Advertisement %</t>
  </si>
  <si>
    <t>Advertisement %</t>
  </si>
  <si>
    <t>Comm.+PG + GST</t>
  </si>
  <si>
    <t>Commissionable Value * Commission %</t>
  </si>
  <si>
    <t>Commission %</t>
  </si>
  <si>
    <t>Net Payout</t>
  </si>
  <si>
    <t>Commissionable Value - Ads - Comm + PG + GST</t>
  </si>
  <si>
    <t>Payout  %</t>
  </si>
  <si>
    <t>Net Payout / Sub Total * 100</t>
  </si>
  <si>
    <t>Burn %</t>
  </si>
  <si>
    <t>1-Payout %</t>
  </si>
  <si>
    <t>M2O</t>
  </si>
  <si>
    <t>Data Given By Employees</t>
  </si>
  <si>
    <t>Menu Opens</t>
  </si>
  <si>
    <t>NOTE : After ensuring that all organic elements are properly in place such as item reels, high-quality product pictures, engaging thumbnails, discount codes, and timely flash sales the M2O (Menu-to-Order) ratio is expected to improve. An increase in M2O will directly enhance the order conversion rate, resulting in higher order volumes, increased sales, and overall better revenue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</si>
</sst>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/>
    <font>
      <color theme="1"/>
      <name val="Calibri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vertical="center"/>
    </xf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5" numFmtId="3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vertical="center"/>
    </xf>
    <xf borderId="4" fillId="4" fontId="5" numFmtId="3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5" numFmtId="10" xfId="0" applyAlignment="1" applyBorder="1" applyFont="1" applyNumberFormat="1">
      <alignment horizontal="center" vertical="center"/>
    </xf>
    <xf borderId="4" fillId="0" fontId="5" numFmtId="9" xfId="0" applyAlignment="1" applyBorder="1" applyFont="1" applyNumberForma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4" fillId="4" fontId="5" numFmtId="1" xfId="0" applyAlignment="1" applyBorder="1" applyFont="1" applyNumberFormat="1">
      <alignment horizontal="center" vertical="center"/>
    </xf>
    <xf borderId="4" fillId="0" fontId="6" numFmtId="1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5" max="5" width="22.0"/>
    <col customWidth="1" min="12" max="12" width="52.25"/>
  </cols>
  <sheetData>
    <row r="1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 t="s">
        <v>2</v>
      </c>
      <c r="B2" s="2"/>
      <c r="C2" s="2"/>
      <c r="D2" s="2"/>
      <c r="E2" s="6" t="s">
        <v>3</v>
      </c>
      <c r="F2" s="7"/>
      <c r="G2" s="7"/>
      <c r="H2" s="7"/>
      <c r="I2" s="7"/>
      <c r="J2" s="7"/>
      <c r="K2" s="7"/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9" t="s">
        <v>4</v>
      </c>
      <c r="B3" s="2"/>
      <c r="C3" s="2"/>
      <c r="D3" s="2"/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1" t="s">
        <v>12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2" t="s">
        <v>13</v>
      </c>
      <c r="B4" s="2"/>
      <c r="C4" s="2"/>
      <c r="D4" s="2"/>
      <c r="E4" s="13" t="s">
        <v>14</v>
      </c>
      <c r="F4" s="14">
        <v>904.0</v>
      </c>
      <c r="G4" s="14">
        <v>1279.0</v>
      </c>
      <c r="H4" s="15">
        <v>1269.0</v>
      </c>
      <c r="I4" s="15">
        <f t="shared" ref="I4:K4" si="1">I20*I19</f>
        <v>1440</v>
      </c>
      <c r="J4" s="15">
        <f t="shared" si="1"/>
        <v>1800</v>
      </c>
      <c r="K4" s="15">
        <f t="shared" si="1"/>
        <v>1800</v>
      </c>
      <c r="L4" s="16" t="s">
        <v>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9" t="s">
        <v>16</v>
      </c>
      <c r="B5" s="2"/>
      <c r="C5" s="2"/>
      <c r="D5" s="2"/>
      <c r="E5" s="13" t="s">
        <v>17</v>
      </c>
      <c r="F5" s="17">
        <v>277215.0</v>
      </c>
      <c r="G5" s="17">
        <v>432311.0</v>
      </c>
      <c r="H5" s="15">
        <v>407581.0</v>
      </c>
      <c r="I5" s="15">
        <f t="shared" ref="I5:K5" si="2">I4*I6</f>
        <v>504000</v>
      </c>
      <c r="J5" s="15">
        <f t="shared" si="2"/>
        <v>666000</v>
      </c>
      <c r="K5" s="15">
        <f t="shared" si="2"/>
        <v>720000</v>
      </c>
      <c r="L5" s="16" t="s">
        <v>18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2" t="s">
        <v>19</v>
      </c>
      <c r="B6" s="2"/>
      <c r="C6" s="2"/>
      <c r="D6" s="2"/>
      <c r="E6" s="13" t="s">
        <v>20</v>
      </c>
      <c r="F6" s="18">
        <v>285.0</v>
      </c>
      <c r="G6" s="14">
        <v>317.0</v>
      </c>
      <c r="H6" s="14">
        <v>328.0</v>
      </c>
      <c r="I6" s="14">
        <v>350.0</v>
      </c>
      <c r="J6" s="14">
        <v>370.0</v>
      </c>
      <c r="K6" s="14">
        <v>400.0</v>
      </c>
      <c r="L6" s="19" t="s">
        <v>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9" t="s">
        <v>22</v>
      </c>
      <c r="B7" s="2"/>
      <c r="C7" s="2"/>
      <c r="D7" s="2"/>
      <c r="E7" s="13" t="s">
        <v>23</v>
      </c>
      <c r="F7" s="14">
        <v>12318.0</v>
      </c>
      <c r="G7" s="14">
        <v>17521.0</v>
      </c>
      <c r="H7" s="15">
        <v>17812.0</v>
      </c>
      <c r="I7" s="15">
        <f t="shared" ref="I7:K7" si="3">I4*15</f>
        <v>21600</v>
      </c>
      <c r="J7" s="15">
        <f t="shared" si="3"/>
        <v>27000</v>
      </c>
      <c r="K7" s="15">
        <f t="shared" si="3"/>
        <v>27000</v>
      </c>
      <c r="L7" s="19" t="s">
        <v>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9" t="s">
        <v>24</v>
      </c>
      <c r="B8" s="2"/>
      <c r="C8" s="2"/>
      <c r="D8" s="2"/>
      <c r="E8" s="20" t="s">
        <v>25</v>
      </c>
      <c r="F8" s="21">
        <f t="shared" ref="F8:K8" si="4">F5+F7</f>
        <v>289533</v>
      </c>
      <c r="G8" s="21">
        <f t="shared" si="4"/>
        <v>449832</v>
      </c>
      <c r="H8" s="21">
        <f t="shared" si="4"/>
        <v>425393</v>
      </c>
      <c r="I8" s="21">
        <f t="shared" si="4"/>
        <v>525600</v>
      </c>
      <c r="J8" s="21">
        <f t="shared" si="4"/>
        <v>693000</v>
      </c>
      <c r="K8" s="21">
        <f t="shared" si="4"/>
        <v>747000</v>
      </c>
      <c r="L8" s="22" t="s">
        <v>26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9" t="s">
        <v>27</v>
      </c>
      <c r="B9" s="2"/>
      <c r="C9" s="2"/>
      <c r="D9" s="2"/>
      <c r="E9" s="13" t="s">
        <v>28</v>
      </c>
      <c r="F9" s="14">
        <f>27182+8318+394</f>
        <v>35894</v>
      </c>
      <c r="G9" s="14">
        <f>22694+655+26676</f>
        <v>50025</v>
      </c>
      <c r="H9" s="15">
        <f>9063+7219+465</f>
        <v>16747</v>
      </c>
      <c r="I9" s="15">
        <f t="shared" ref="I9:K9" si="5">I5*I10</f>
        <v>25200</v>
      </c>
      <c r="J9" s="15">
        <f t="shared" si="5"/>
        <v>53280</v>
      </c>
      <c r="K9" s="15">
        <f t="shared" si="5"/>
        <v>57600</v>
      </c>
      <c r="L9" s="23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9" t="s">
        <v>30</v>
      </c>
      <c r="B10" s="2"/>
      <c r="C10" s="2"/>
      <c r="D10" s="2"/>
      <c r="E10" s="13" t="s">
        <v>31</v>
      </c>
      <c r="F10" s="24">
        <f t="shared" ref="F10:H10" si="6">F9/F8</f>
        <v>0.1239720515</v>
      </c>
      <c r="G10" s="24">
        <f t="shared" si="6"/>
        <v>0.1112081844</v>
      </c>
      <c r="H10" s="24">
        <f t="shared" si="6"/>
        <v>0.03936830178</v>
      </c>
      <c r="I10" s="25">
        <v>0.05</v>
      </c>
      <c r="J10" s="25">
        <v>0.08</v>
      </c>
      <c r="K10" s="25">
        <v>0.08</v>
      </c>
      <c r="L10" s="19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13" t="s">
        <v>32</v>
      </c>
      <c r="F11" s="15">
        <v>266320.0</v>
      </c>
      <c r="G11" s="15">
        <v>419797.0</v>
      </c>
      <c r="H11" s="15">
        <v>429078.0</v>
      </c>
      <c r="I11" s="15">
        <f t="shared" ref="I11:K11" si="7">I8-I9</f>
        <v>500400</v>
      </c>
      <c r="J11" s="15">
        <f t="shared" si="7"/>
        <v>639720</v>
      </c>
      <c r="K11" s="15">
        <f t="shared" si="7"/>
        <v>689400</v>
      </c>
      <c r="L11" s="19" t="s">
        <v>33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13" t="s">
        <v>34</v>
      </c>
      <c r="F12" s="14">
        <v>35081.0</v>
      </c>
      <c r="G12" s="14">
        <v>103809.0</v>
      </c>
      <c r="H12" s="15">
        <v>126933.0</v>
      </c>
      <c r="I12" s="15">
        <f t="shared" ref="I12:K12" si="8">I11*19%</f>
        <v>95076</v>
      </c>
      <c r="J12" s="15">
        <f t="shared" si="8"/>
        <v>121546.8</v>
      </c>
      <c r="K12" s="15">
        <f t="shared" si="8"/>
        <v>130986</v>
      </c>
      <c r="L12" s="19" t="s">
        <v>35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13" t="s">
        <v>36</v>
      </c>
      <c r="F13" s="26">
        <f t="shared" ref="F13:H13" si="9">F12/F11</f>
        <v>0.1317249925</v>
      </c>
      <c r="G13" s="26">
        <f t="shared" si="9"/>
        <v>0.2472838062</v>
      </c>
      <c r="H13" s="26">
        <f t="shared" si="9"/>
        <v>0.2958273321</v>
      </c>
      <c r="I13" s="27">
        <v>0.19</v>
      </c>
      <c r="J13" s="27">
        <v>0.15</v>
      </c>
      <c r="K13" s="27">
        <v>0.15</v>
      </c>
      <c r="L13" s="19" t="s">
        <v>21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13" t="s">
        <v>37</v>
      </c>
      <c r="F14" s="14">
        <f>63235+11346</f>
        <v>74581</v>
      </c>
      <c r="G14" s="14">
        <f>96677+17296</f>
        <v>113973</v>
      </c>
      <c r="H14" s="15">
        <f>101194+18206</f>
        <v>119400</v>
      </c>
      <c r="I14" s="15">
        <f t="shared" ref="I14:K14" si="10">I11*28%</f>
        <v>140112</v>
      </c>
      <c r="J14" s="15">
        <f t="shared" si="10"/>
        <v>179121.6</v>
      </c>
      <c r="K14" s="15">
        <f t="shared" si="10"/>
        <v>193032</v>
      </c>
      <c r="L14" s="19" t="s">
        <v>38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13" t="s">
        <v>39</v>
      </c>
      <c r="F15" s="24">
        <f t="shared" ref="F15:H15" si="11">F14/F11</f>
        <v>0.2800428056</v>
      </c>
      <c r="G15" s="24">
        <f t="shared" si="11"/>
        <v>0.2714955085</v>
      </c>
      <c r="H15" s="24">
        <f t="shared" si="11"/>
        <v>0.2782710836</v>
      </c>
      <c r="I15" s="24">
        <v>0.28</v>
      </c>
      <c r="J15" s="24">
        <v>0.28</v>
      </c>
      <c r="K15" s="24">
        <v>0.28</v>
      </c>
      <c r="L15" s="19" t="s">
        <v>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0" t="s">
        <v>40</v>
      </c>
      <c r="F16" s="21">
        <f>125670+20628</f>
        <v>146298</v>
      </c>
      <c r="G16" s="21">
        <f>144955+40014</f>
        <v>184969</v>
      </c>
      <c r="H16" s="28">
        <f>69002+97457</f>
        <v>166459</v>
      </c>
      <c r="I16" s="28">
        <f t="shared" ref="I16:K16" si="12">I11-I12-I14</f>
        <v>265212</v>
      </c>
      <c r="J16" s="28">
        <f t="shared" si="12"/>
        <v>339051.6</v>
      </c>
      <c r="K16" s="28">
        <f t="shared" si="12"/>
        <v>365382</v>
      </c>
      <c r="L16" s="22" t="s">
        <v>41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13" t="s">
        <v>42</v>
      </c>
      <c r="F17" s="24">
        <f t="shared" ref="F17:K17" si="13">F16/F8</f>
        <v>0.5052895525</v>
      </c>
      <c r="G17" s="24">
        <f t="shared" si="13"/>
        <v>0.4111957353</v>
      </c>
      <c r="H17" s="24">
        <f t="shared" si="13"/>
        <v>0.391306392</v>
      </c>
      <c r="I17" s="24">
        <f t="shared" si="13"/>
        <v>0.5045890411</v>
      </c>
      <c r="J17" s="24">
        <f t="shared" si="13"/>
        <v>0.4892519481</v>
      </c>
      <c r="K17" s="24">
        <f t="shared" si="13"/>
        <v>0.4891325301</v>
      </c>
      <c r="L17" s="19" t="s">
        <v>43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13" t="s">
        <v>44</v>
      </c>
      <c r="F18" s="24">
        <f t="shared" ref="F18:K18" si="14">1-F17</f>
        <v>0.4947104475</v>
      </c>
      <c r="G18" s="24">
        <f t="shared" si="14"/>
        <v>0.5888042647</v>
      </c>
      <c r="H18" s="24">
        <f t="shared" si="14"/>
        <v>0.608693608</v>
      </c>
      <c r="I18" s="24">
        <f t="shared" si="14"/>
        <v>0.4954109589</v>
      </c>
      <c r="J18" s="24">
        <f t="shared" si="14"/>
        <v>0.5107480519</v>
      </c>
      <c r="K18" s="24">
        <f t="shared" si="14"/>
        <v>0.5108674699</v>
      </c>
      <c r="L18" s="19" t="s">
        <v>45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13" t="s">
        <v>46</v>
      </c>
      <c r="F19" s="26">
        <v>0.074</v>
      </c>
      <c r="G19" s="24">
        <v>0.07</v>
      </c>
      <c r="H19" s="25">
        <v>0.063</v>
      </c>
      <c r="I19" s="25">
        <v>0.08</v>
      </c>
      <c r="J19" s="25">
        <v>0.1</v>
      </c>
      <c r="K19" s="25">
        <v>0.1</v>
      </c>
      <c r="L19" s="19" t="s">
        <v>47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13" t="s">
        <v>48</v>
      </c>
      <c r="F20" s="29">
        <f>156362*7.9%</f>
        <v>12352.598</v>
      </c>
      <c r="G20" s="15">
        <f>239413*7.8%</f>
        <v>18674.214</v>
      </c>
      <c r="H20" s="15">
        <f>245577*8.2%</f>
        <v>20137.314</v>
      </c>
      <c r="I20" s="15">
        <v>18000.0</v>
      </c>
      <c r="J20" s="15">
        <v>18000.0</v>
      </c>
      <c r="K20" s="15">
        <v>18000.0</v>
      </c>
      <c r="L20" s="19" t="s">
        <v>47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30" t="s">
        <v>49</v>
      </c>
      <c r="F21" s="7"/>
      <c r="G21" s="7"/>
      <c r="H21" s="7"/>
      <c r="I21" s="7"/>
      <c r="J21" s="7"/>
      <c r="K21" s="7"/>
      <c r="L21" s="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31"/>
      <c r="F22" s="31"/>
      <c r="G22" s="31"/>
      <c r="H22" s="31"/>
      <c r="I22" s="31"/>
      <c r="J22" s="31"/>
      <c r="K22" s="31"/>
      <c r="L22" s="3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2">
    <mergeCell ref="E2:L2"/>
    <mergeCell ref="E21:L21"/>
  </mergeCells>
  <drawing r:id="rId1"/>
</worksheet>
</file>